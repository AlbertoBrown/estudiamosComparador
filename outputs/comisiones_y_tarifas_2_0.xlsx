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fc2058aed42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49738e023a44a0b"/>
    <x:sheet xmlns:r="http://schemas.openxmlformats.org/officeDocument/2006/relationships" name="Comisiones agentes" sheetId="2" r:id="Ra2911f33537d42c5"/>
    <x:sheet xmlns:r="http://schemas.openxmlformats.org/officeDocument/2006/relationships" name="Tarifas 2.0TD" sheetId="3" r:id="Rc45dc118419c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 €"/>
    <x:numFmt numFmtId="202" formatCode="0.000000"/>
  </x:numFmts>
  <x:fonts count="5">
    <x:font>
      <x:sz val="11"/>
      <x:name val="Carlito"/>
    </x:font>
    <x:font>
      <x:b/>
      <x:sz val="18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i/>
      <x:sz val="11"/>
      <x:color rgb="14377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9257D"/>
      </x:patternFill>
    </x:fill>
    <x:fill>
      <x:patternFill patternType="solid">
        <x:fgColor rgb="F4F6F9"/>
      </x:patternFill>
    </x:fill>
    <x:fill>
      <x:patternFill patternType="solid">
        <x:fgColor rgb="EEF5FF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8c645affd42cc" /><Relationship Type="http://schemas.openxmlformats.org/officeDocument/2006/relationships/theme" Target="/xl/theme/theme1.xml" Id="R3b46d1d04eb3428a" /><Relationship Type="http://schemas.openxmlformats.org/officeDocument/2006/relationships/sharedStrings" Target="/xl/sharedStrings.xml" Id="R4ea4de889dca43c6" /><Relationship Type="http://schemas.openxmlformats.org/officeDocument/2006/relationships/worksheet" Target="/xl/worksheets/sheet1.xml" Id="R649738e023a44a0b" /><Relationship Type="http://schemas.openxmlformats.org/officeDocument/2006/relationships/worksheet" Target="/xl/worksheets/sheet2.xml" Id="Ra2911f33537d42c5" /><Relationship Type="http://schemas.openxmlformats.org/officeDocument/2006/relationships/worksheet" Target="/xl/worksheets/sheet3.xml" Id="Rc45dc118419c48c6" /></Relationships>
</file>

<file path=xl/tables/table1.xml><?xml version="1.0" encoding="utf-8"?>
<x:table xmlns:x="http://schemas.openxmlformats.org/spreadsheetml/2006/main" id="1" name="TablaComisiones" displayName="TablaComisiones" ref="A1:H9" headerRowCount="1">
  <x:tableColumns count="8">
    <x:tableColumn id="1" name="Agente"/>
    <x:tableColumn id="2" name="Comercializadora"/>
    <x:tableColumn id="3" name="Contratos"/>
    <x:tableColumn id="4" name="Comision agente"/>
    <x:tableColumn id="5" name="Comision Estudiamos"/>
    <x:tableColumn id="6" name="Pago agentes"/>
    <x:tableColumn id="7" name="Comision Estudiamos total"/>
    <x:tableColumn id="8" name="Comision total"/>
  </x:tableColumns>
  <x:tableStyleInfo name="TableStyleMedium2" showRowStripes="1"/>
</x:table>
</file>

<file path=xl/tables/table2.xml><?xml version="1.0" encoding="utf-8"?>
<x:table xmlns:x="http://schemas.openxmlformats.org/spreadsheetml/2006/main" id="2" name="TablaTarifas20TD" displayName="TablaTarifas20TD" ref="A1:J12" headerRowCount="1">
  <x:tableColumns count="10">
    <x:tableColumn id="1" name="Comercializadora"/>
    <x:tableColumn id="2" name="Tarifa"/>
    <x:tableColumn id="3" name="Tipo"/>
    <x:tableColumn id="4" name="Energia P1 punta"/>
    <x:tableColumn id="5" name="Energia P2 llano"/>
    <x:tableColumn id="6" name="Energia P3 valle"/>
    <x:tableColumn id="7" name="Potencia P1"/>
    <x:tableColumn id="8" name="Potencia P2"/>
    <x:tableColumn id="9" name="Comision base"/>
    <x:tableColumn id="10" name="Clav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778b0bdf4f46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de415bf5ba4e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9.520000457763672" hidden="0" customWidth="1"/>
    <x:col min="3" max="3" width="3.359999895095825" hidden="0" customWidth="1"/>
    <x:col min="4" max="4" width="20.860000610351562" hidden="0" customWidth="1"/>
    <x:col min="5" max="5" width="16.81999969482422" hidden="0" customWidth="1"/>
    <x:col min="6" max="6" width="12.789999961853027" hidden="0" customWidth="1"/>
    <x:col min="7" max="7" width="2.0199999809265137" hidden="0" customWidth="1"/>
    <x:col min="8" max="8" width="2.0199999809265137" hidden="0" customWidth="1"/>
  </x:cols>
  <x:sheetData>
    <x:row r="1">
      <x:c r="A1" s="3" t="str">
        <x:v>Resumen comercial 2.0TD</x:v>
      </x:c>
    </x:row>
    <x:row r="3">
      <x:c r="A3" s="7" t="str">
        <x:v>Concepto</x:v>
      </x:c>
      <x:c r="B3" s="7" t="str">
        <x:v>Valor</x:v>
      </x:c>
      <x:c r="D3" s="7" t="str">
        <x:v>Comercializadora</x:v>
      </x:c>
      <x:c r="E3" s="7" t="str">
        <x:v>Comision base</x:v>
      </x:c>
      <x:c r="F3" s="7" t="str">
        <x:v>Contratos</x:v>
      </x:c>
    </x:row>
    <x:row r="4">
      <x:c r="A4" s="10" t="str">
        <x:v>Contratos simulados</x:v>
      </x:c>
      <x:c r="B4" s="12" t="n">
        <x:f>SUM('Comisiones agentes'!C2:C9)</x:f>
        <x:v>340</x:v>
      </x:c>
      <x:c r="D4" t="str">
        <x:v>Repsol</x:v>
      </x:c>
      <x:c r="E4" s="14" t="n">
        <x:v>80</x:v>
      </x:c>
      <x:c r="F4" t="n">
        <x:f>SUMIF('Comisiones agentes'!B:B,D4,'Comisiones agentes'!C:C)</x:f>
        <x:v>100</x:v>
      </x:c>
    </x:row>
    <x:row r="5">
      <x:c r="A5" s="10" t="str">
        <x:v>Pago agentes total</x:v>
      </x:c>
      <x:c r="B5" s="13" t="n">
        <x:f>SUM('Comisiones agentes'!F2:F9)</x:f>
        <x:v>25900</x:v>
      </x:c>
      <x:c r="D5" t="str">
        <x:v>Endesa</x:v>
      </x:c>
      <x:c r="E5" s="14" t="n">
        <x:v>70</x:v>
      </x:c>
      <x:c r="F5" t="n">
        <x:f>SUMIF('Comisiones agentes'!B:B,D5,'Comisiones agentes'!C:C)</x:f>
        <x:v>80</x:v>
      </x:c>
    </x:row>
    <x:row r="6">
      <x:c r="A6" s="10" t="str">
        <x:v>Comision Estudiamos total</x:v>
      </x:c>
      <x:c r="B6" s="13" t="n">
        <x:f>SUM('Comisiones agentes'!G2:G9)</x:f>
        <x:v>5100</x:v>
      </x:c>
      <x:c r="D6" t="str">
        <x:v>Naturgy</x:v>
      </x:c>
      <x:c r="E6" s="14" t="n">
        <x:v>60</x:v>
      </x:c>
      <x:c r="F6" t="n">
        <x:f>SUMIF('Comisiones agentes'!B:B,D6,'Comisiones agentes'!C:C)</x:f>
        <x:v>70</x:v>
      </x:c>
    </x:row>
    <x:row r="7">
      <x:c r="A7" s="10" t="str">
        <x:v>Comision total generada</x:v>
      </x:c>
      <x:c r="B7" s="13" t="n">
        <x:f>SUM('Comisiones agentes'!H2:H9)</x:f>
        <x:v>31000</x:v>
      </x:c>
      <x:c r="D7" t="str">
        <x:v>Iberdrola</x:v>
      </x:c>
      <x:c r="E7" s="14" t="n">
        <x:v>90</x:v>
      </x:c>
      <x:c r="F7" t="n">
        <x:f>SUMIF('Comisiones agentes'!B:B,D7,'Comisiones agentes'!C:C)</x:f>
        <x:v>90</x:v>
      </x:c>
    </x:row>
    <x:row r="8">
      <x:c r="D8" t="str">
        <x:v>LoGOs</x:v>
      </x:c>
      <x:c r="E8" s="14" t="n">
        <x:v>65</x:v>
      </x:c>
      <x:c r="F8" t="n">
        <x:f>SUMIF('Comisiones agentes'!B:B,D8,'Comisiones agentes'!C:C)</x:f>
        <x:v>0</x:v>
      </x:c>
    </x:row>
    <x:row r="10">
      <x:c r="A10" s="19" t="str">
        <x:v>Nota: precios orientativos segun la tabla del prototipo. Actualizar tarifas y comisiones antes de cerrar contratos.</x:v>
      </x:c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8.170000076293945" hidden="0" customWidth="1"/>
    <x:col min="3" max="3" width="11.4399995803833" hidden="0" customWidth="1"/>
    <x:col min="4" max="4" width="15.479999542236328" hidden="0" customWidth="1"/>
    <x:col min="5" max="5" width="15.479999542236328" hidden="0" customWidth="1"/>
    <x:col min="6" max="6" width="16.81999969482422" hidden="0" customWidth="1"/>
    <x:col min="7" max="7" width="15.479999542236328" hidden="0" customWidth="1"/>
    <x:col min="8" max="8" width="15.479999542236328" hidden="0" customWidth="1"/>
  </x:cols>
  <x:sheetData>
    <x:row r="1">
      <x:c r="A1" s="7" t="str">
        <x:v>Agente</x:v>
      </x:c>
      <x:c r="B1" s="7" t="str">
        <x:v>Comercializadora</x:v>
      </x:c>
      <x:c r="C1" s="7" t="str">
        <x:v>Contratos</x:v>
      </x:c>
      <x:c r="D1" s="7" t="str">
        <x:v>Comision agente</x:v>
      </x:c>
      <x:c r="E1" s="7" t="str">
        <x:v>Comision Estudiamos</x:v>
      </x:c>
      <x:c r="F1" s="7" t="str">
        <x:v>Pago agentes</x:v>
      </x:c>
      <x:c r="G1" s="7" t="str">
        <x:v>Comision Estudiamos total</x:v>
      </x:c>
      <x:c r="H1" s="7" t="str">
        <x:v>Comision total</x:v>
      </x:c>
    </x:row>
    <x:row r="2">
      <x:c r="A2" t="str">
        <x:v>Agente 1</x:v>
      </x:c>
      <x:c r="B2" t="str">
        <x:v>Repsol</x:v>
      </x:c>
      <x:c r="C2" s="15" t="n">
        <x:v>50</x:v>
      </x:c>
      <x:c r="D2" s="14" t="n">
        <x:v>80</x:v>
      </x:c>
      <x:c r="E2" s="14" t="n">
        <x:v>15</x:v>
      </x:c>
      <x:c r="F2" s="14" t="n">
        <x:f>C2*D2</x:f>
        <x:v>4000</x:v>
      </x:c>
      <x:c r="G2" s="14" t="n">
        <x:f>C2*E2</x:f>
        <x:v>750</x:v>
      </x:c>
      <x:c r="H2" s="14" t="n">
        <x:f>F2+G2</x:f>
        <x:v>4750</x:v>
      </x:c>
    </x:row>
    <x:row r="3">
      <x:c r="A3" t="str">
        <x:v>Agente 1</x:v>
      </x:c>
      <x:c r="B3" t="str">
        <x:v>Endesa</x:v>
      </x:c>
      <x:c r="C3" s="15" t="n">
        <x:v>40</x:v>
      </x:c>
      <x:c r="D3" s="14" t="n">
        <x:v>70</x:v>
      </x:c>
      <x:c r="E3" s="14" t="n">
        <x:v>15</x:v>
      </x:c>
      <x:c r="F3" s="14" t="n">
        <x:f>C3*D3</x:f>
        <x:v>2800</x:v>
      </x:c>
      <x:c r="G3" s="14" t="n">
        <x:f>C3*E3</x:f>
        <x:v>600</x:v>
      </x:c>
      <x:c r="H3" s="14" t="n">
        <x:f>F3+G3</x:f>
        <x:v>3400</x:v>
      </x:c>
    </x:row>
    <x:row r="4">
      <x:c r="A4" t="str">
        <x:v>Agente 1</x:v>
      </x:c>
      <x:c r="B4" t="str">
        <x:v>Naturgy</x:v>
      </x:c>
      <x:c r="C4" s="15" t="n">
        <x:v>35</x:v>
      </x:c>
      <x:c r="D4" s="14" t="n">
        <x:v>60</x:v>
      </x:c>
      <x:c r="E4" s="14" t="n">
        <x:v>15</x:v>
      </x:c>
      <x:c r="F4" s="14" t="n">
        <x:f>C4*D4</x:f>
        <x:v>2100</x:v>
      </x:c>
      <x:c r="G4" s="14" t="n">
        <x:f>C4*E4</x:f>
        <x:v>525</x:v>
      </x:c>
      <x:c r="H4" s="14" t="n">
        <x:f>F4+G4</x:f>
        <x:v>2625</x:v>
      </x:c>
    </x:row>
    <x:row r="5">
      <x:c r="A5" t="str">
        <x:v>Agente 1</x:v>
      </x:c>
      <x:c r="B5" t="str">
        <x:v>Iberdrola</x:v>
      </x:c>
      <x:c r="C5" s="15" t="n">
        <x:v>45</x:v>
      </x:c>
      <x:c r="D5" s="14" t="n">
        <x:v>90</x:v>
      </x:c>
      <x:c r="E5" s="14" t="n">
        <x:v>15</x:v>
      </x:c>
      <x:c r="F5" s="14" t="n">
        <x:f>C5*D5</x:f>
        <x:v>4050</x:v>
      </x:c>
      <x:c r="G5" s="14" t="n">
        <x:f>C5*E5</x:f>
        <x:v>675</x:v>
      </x:c>
      <x:c r="H5" s="14" t="n">
        <x:f>F5+G5</x:f>
        <x:v>4725</x:v>
      </x:c>
    </x:row>
    <x:row r="6">
      <x:c r="A6" t="str">
        <x:v>Agente 2</x:v>
      </x:c>
      <x:c r="B6" t="str">
        <x:v>Repsol</x:v>
      </x:c>
      <x:c r="C6" s="15" t="n">
        <x:v>50</x:v>
      </x:c>
      <x:c r="D6" s="14" t="n">
        <x:v>80</x:v>
      </x:c>
      <x:c r="E6" s="14" t="n">
        <x:v>15</x:v>
      </x:c>
      <x:c r="F6" s="14" t="n">
        <x:f>C6*D6</x:f>
        <x:v>4000</x:v>
      </x:c>
      <x:c r="G6" s="14" t="n">
        <x:f>C6*E6</x:f>
        <x:v>750</x:v>
      </x:c>
      <x:c r="H6" s="14" t="n">
        <x:f>F6+G6</x:f>
        <x:v>4750</x:v>
      </x:c>
    </x:row>
    <x:row r="7">
      <x:c r="A7" t="str">
        <x:v>Agente 2</x:v>
      </x:c>
      <x:c r="B7" t="str">
        <x:v>Endesa</x:v>
      </x:c>
      <x:c r="C7" s="15" t="n">
        <x:v>40</x:v>
      </x:c>
      <x:c r="D7" s="14" t="n">
        <x:v>70</x:v>
      </x:c>
      <x:c r="E7" s="14" t="n">
        <x:v>15</x:v>
      </x:c>
      <x:c r="F7" s="14" t="n">
        <x:f>C7*D7</x:f>
        <x:v>2800</x:v>
      </x:c>
      <x:c r="G7" s="14" t="n">
        <x:f>C7*E7</x:f>
        <x:v>600</x:v>
      </x:c>
      <x:c r="H7" s="14" t="n">
        <x:f>F7+G7</x:f>
        <x:v>3400</x:v>
      </x:c>
    </x:row>
    <x:row r="8">
      <x:c r="A8" t="str">
        <x:v>Agente 2</x:v>
      </x:c>
      <x:c r="B8" t="str">
        <x:v>Naturgy</x:v>
      </x:c>
      <x:c r="C8" s="15" t="n">
        <x:v>35</x:v>
      </x:c>
      <x:c r="D8" s="14" t="n">
        <x:v>60</x:v>
      </x:c>
      <x:c r="E8" s="14" t="n">
        <x:v>15</x:v>
      </x:c>
      <x:c r="F8" s="14" t="n">
        <x:f>C8*D8</x:f>
        <x:v>2100</x:v>
      </x:c>
      <x:c r="G8" s="14" t="n">
        <x:f>C8*E8</x:f>
        <x:v>525</x:v>
      </x:c>
      <x:c r="H8" s="14" t="n">
        <x:f>F8+G8</x:f>
        <x:v>2625</x:v>
      </x:c>
    </x:row>
    <x:row r="9">
      <x:c r="A9" t="str">
        <x:v>Agente 2</x:v>
      </x:c>
      <x:c r="B9" t="str">
        <x:v>Iberdrola</x:v>
      </x:c>
      <x:c r="C9" s="15" t="n">
        <x:v>45</x:v>
      </x:c>
      <x:c r="D9" s="14" t="n">
        <x:v>90</x:v>
      </x:c>
      <x:c r="E9" s="14" t="n">
        <x:v>15</x:v>
      </x:c>
      <x:c r="F9" s="14" t="n">
        <x:f>C9*D9</x:f>
        <x:v>4050</x:v>
      </x:c>
      <x:c r="G9" s="14" t="n">
        <x:f>C9*E9</x:f>
        <x:v>675</x:v>
      </x:c>
      <x:c r="H9" s="14" t="n">
        <x:f>F9+G9</x:f>
        <x:v>4725</x:v>
      </x:c>
    </x:row>
  </x:sheetData>
  <x:pageMargins left="0.7" right="0.7" top="0.75" bottom="0.75" header="0.3" footer="0.3"/>
  <x:tableParts count="1">
    <x:tablePart xmlns:r="http://schemas.openxmlformats.org/officeDocument/2006/relationships" r:id="R63778b0bdf4f46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28.940000534057617" hidden="0" customWidth="1"/>
    <x:col min="3" max="3" width="14.130000114440918" hidden="0" customWidth="1"/>
    <x:col min="4" max="4" width="15.479999542236328" hidden="0" customWidth="1"/>
    <x:col min="5" max="5" width="15.479999542236328" hidden="0" customWidth="1"/>
    <x:col min="6" max="6" width="15.479999542236328" hidden="0" customWidth="1"/>
    <x:col min="7" max="7" width="13.460000038146973" hidden="0" customWidth="1"/>
    <x:col min="8" max="8" width="13.460000038146973" hidden="0" customWidth="1"/>
    <x:col min="9" max="9" width="14.130000114440918" hidden="0" customWidth="1"/>
    <x:col min="10" max="10" width="34.31999969482422" hidden="0" customWidth="1"/>
  </x:cols>
  <x:sheetData>
    <x:row r="1">
      <x:c r="A1" s="7" t="str">
        <x:v>Comercializadora</x:v>
      </x:c>
      <x:c r="B1" s="7" t="str">
        <x:v>Tarifa</x:v>
      </x:c>
      <x:c r="C1" s="7" t="str">
        <x:v>Tipo</x:v>
      </x:c>
      <x:c r="D1" s="7" t="str">
        <x:v>Energia P1 punta</x:v>
      </x:c>
      <x:c r="E1" s="7" t="str">
        <x:v>Energia P2 llano</x:v>
      </x:c>
      <x:c r="F1" s="7" t="str">
        <x:v>Energia P3 valle</x:v>
      </x:c>
      <x:c r="G1" s="7" t="str">
        <x:v>Potencia P1</x:v>
      </x:c>
      <x:c r="H1" s="7" t="str">
        <x:v>Potencia P2</x:v>
      </x:c>
      <x:c r="I1" s="7" t="str">
        <x:v>Comision base</x:v>
      </x:c>
      <x:c r="J1" s="7" t="str">
        <x:v>Claves</x:v>
      </x:c>
    </x:row>
    <x:row r="2">
      <x:c r="A2" t="str">
        <x:v>Repsol</x:v>
      </x:c>
      <x:c r="B2" t="str">
        <x:v>Ahorro Plus 2.0TD</x:v>
      </x:c>
      <x:c r="C2" t="str">
        <x:v>Fijo 24h</x:v>
      </x:c>
      <x:c r="D2" s="16" t="n">
        <x:v>0.1199</x:v>
      </x:c>
      <x:c r="E2" s="16" t="n">
        <x:v>0.1199</x:v>
      </x:c>
      <x:c r="F2" s="16" t="n">
        <x:v>0.1199</x:v>
      </x:c>
      <x:c r="G2" s="16" t="n">
        <x:v>0.0819</x:v>
      </x:c>
      <x:c r="H2" s="16" t="n">
        <x:v>0.0819</x:v>
      </x:c>
      <x:c r="I2" s="14" t="n">
        <x:v>80</x:v>
      </x:c>
      <x:c r="J2" t="str">
        <x:v>Nuevo cliente; 12 meses; Waylet</x:v>
      </x:c>
    </x:row>
    <x:row r="3">
      <x:c r="A3" t="str">
        <x:v>Repsol</x:v>
      </x:c>
      <x:c r="B3" t="str">
        <x:v>Discriminacion Horaria 2.0TD</x:v>
      </x:c>
      <x:c r="C3" t="str">
        <x:v>3 periodos</x:v>
      </x:c>
      <x:c r="D3" s="16" t="n">
        <x:v>0.1689</x:v>
      </x:c>
      <x:c r="E3" s="16" t="n">
        <x:v>0.1189</x:v>
      </x:c>
      <x:c r="F3" s="16" t="n">
        <x:v>0.0999</x:v>
      </x:c>
      <x:c r="G3" s="16" t="n">
        <x:v>0.0901</x:v>
      </x:c>
      <x:c r="H3" s="16" t="n">
        <x:v>0.0901</x:v>
      </x:c>
      <x:c r="I3" s="14" t="n">
        <x:v>80</x:v>
      </x:c>
      <x:c r="J3" t="str">
        <x:v>Nuevo cliente; sin permanencia; Waylet</x:v>
      </x:c>
    </x:row>
    <x:row r="4">
      <x:c r="A4" t="str">
        <x:v>LoGOs</x:v>
      </x:c>
      <x:c r="B4" t="str">
        <x:v>Precio Unico 2.0TD</x:v>
      </x:c>
      <x:c r="C4" t="str">
        <x:v>Fijo 24h</x:v>
      </x:c>
      <x:c r="D4" s="16" t="n">
        <x:v>0.175131</x:v>
      </x:c>
      <x:c r="E4" s="16" t="n">
        <x:v>0.175131</x:v>
      </x:c>
      <x:c r="F4" s="16" t="n">
        <x:v>0.175131</x:v>
      </x:c>
      <x:c r="G4" s="16" t="n">
        <x:v>0.086861</x:v>
      </x:c>
      <x:c r="H4" s="16" t="n">
        <x:v>0.012946</x:v>
      </x:c>
      <x:c r="I4" s="14" t="n">
        <x:v>65</x:v>
      </x:c>
      <x:c r="J4" t="str">
        <x:v>-25% primer ano; precio 24h</x:v>
      </x:c>
    </x:row>
    <x:row r="5">
      <x:c r="A5" t="str">
        <x:v>LoGOs</x:v>
      </x:c>
      <x:c r="B5" t="str">
        <x:v>Precio Variable 2.0TD</x:v>
      </x:c>
      <x:c r="C5" t="str">
        <x:v>3 periodos</x:v>
      </x:c>
      <x:c r="D5" s="16" t="n">
        <x:v>0.246112</x:v>
      </x:c>
      <x:c r="E5" s="16" t="n">
        <x:v>0.177698</x:v>
      </x:c>
      <x:c r="F5" s="16" t="n">
        <x:v>0.146046</x:v>
      </x:c>
      <x:c r="G5" s="16" t="n">
        <x:v>0.086861</x:v>
      </x:c>
      <x:c r="H5" s="16" t="n">
        <x:v>0.012946</x:v>
      </x:c>
      <x:c r="I5" s="14" t="n">
        <x:v>65</x:v>
      </x:c>
      <x:c r="J5" t="str">
        <x:v>-25% primer ano; 3 periodos</x:v>
      </x:c>
    </x:row>
    <x:row r="6">
      <x:c r="A6" t="str">
        <x:v>Endesa</x:v>
      </x:c>
      <x:c r="B6" t="str">
        <x:v>Luz Fija 24h Online</x:v>
      </x:c>
      <x:c r="C6" t="str">
        <x:v>Fijo 24h</x:v>
      </x:c>
      <x:c r="D6" s="16" t="n">
        <x:v>0.099999</x:v>
      </x:c>
      <x:c r="E6" s="16" t="n">
        <x:v>0.099999</x:v>
      </x:c>
      <x:c r="F6" s="16" t="n">
        <x:v>0.099999</x:v>
      </x:c>
      <x:c r="G6" s="16" t="n">
        <x:v>0.094967</x:v>
      </x:c>
      <x:c r="H6" s="16" t="n">
        <x:v>0.094967</x:v>
      </x:c>
      <x:c r="I6" s="14" t="n">
        <x:v>70</x:v>
      </x:c>
      <x:c r="J6" t="str">
        <x:v>Nuevo cliente; online; sin permanencia</x:v>
      </x:c>
    </x:row>
    <x:row r="7">
      <x:c r="A7" t="str">
        <x:v>Endesa</x:v>
      </x:c>
      <x:c r="B7" t="str">
        <x:v>Conecta Luz</x:v>
      </x:c>
      <x:c r="C7" t="str">
        <x:v>Fijo 24h</x:v>
      </x:c>
      <x:c r="D7" s="16" t="n">
        <x:v>0.1135</x:v>
      </x:c>
      <x:c r="E7" s="16" t="n">
        <x:v>0.1135</x:v>
      </x:c>
      <x:c r="F7" s="16" t="n">
        <x:v>0.1135</x:v>
      </x:c>
      <x:c r="G7" s="16" t="n">
        <x:v>0.094967</x:v>
      </x:c>
      <x:c r="H7" s="16" t="n">
        <x:v>0.094967</x:v>
      </x:c>
      <x:c r="I7" s="14" t="n">
        <x:v>70</x:v>
      </x:c>
      <x:c r="J7" t="str">
        <x:v>Nuevo cliente; 20% dto.; precio 2 anos</x:v>
      </x:c>
    </x:row>
    <x:row r="8">
      <x:c r="A8" t="str">
        <x:v>Endesa</x:v>
      </x:c>
      <x:c r="B8" t="str">
        <x:v>Conecta 3 Periodos</x:v>
      </x:c>
      <x:c r="C8" t="str">
        <x:v>3 periodos</x:v>
      </x:c>
      <x:c r="D8" s="16" t="n">
        <x:v>0.18621</x:v>
      </x:c>
      <x:c r="E8" s="16" t="n">
        <x:v>0.11781</x:v>
      </x:c>
      <x:c r="F8" s="16" t="n">
        <x:v>0.09441</x:v>
      </x:c>
      <x:c r="G8" s="16" t="n">
        <x:v>0.074012</x:v>
      </x:c>
      <x:c r="H8" s="16" t="n">
        <x:v>0.074012</x:v>
      </x:c>
      <x:c r="I8" s="14" t="n">
        <x:v>70</x:v>
      </x:c>
      <x:c r="J8" t="str">
        <x:v>Nuevo cliente; 10% dto.; valle barato</x:v>
      </x:c>
    </x:row>
    <x:row r="9">
      <x:c r="A9" t="str">
        <x:v>Iberdrola</x:v>
      </x:c>
      <x:c r="B9" t="str">
        <x:v>Plan Online 3 Periodos</x:v>
      </x:c>
      <x:c r="C9" t="str">
        <x:v>3 periodos</x:v>
      </x:c>
      <x:c r="D9" s="16" t="n">
        <x:v>0.194</x:v>
      </x:c>
      <x:c r="E9" s="16" t="n">
        <x:v>0.136</x:v>
      </x:c>
      <x:c r="F9" s="16" t="n">
        <x:v>0.09999</x:v>
      </x:c>
      <x:c r="G9" s="16" t="n">
        <x:v>0.091074</x:v>
      </x:c>
      <x:c r="H9" s="16" t="n">
        <x:v>0.013483</x:v>
      </x:c>
      <x:c r="I9" s="14" t="n">
        <x:v>90</x:v>
      </x:c>
      <x:c r="J9" t="str">
        <x:v>Online; 3 periodos; sin permanencia</x:v>
      </x:c>
    </x:row>
    <x:row r="10">
      <x:c r="A10" t="str">
        <x:v>Iberdrola</x:v>
      </x:c>
      <x:c r="B10" t="str">
        <x:v>Plan Estable</x:v>
      </x:c>
      <x:c r="C10" t="str">
        <x:v>Fijo 24h</x:v>
      </x:c>
      <x:c r="D10" s="16" t="n">
        <x:v>0.168625</x:v>
      </x:c>
      <x:c r="E10" s="16" t="n">
        <x:v>0.168625</x:v>
      </x:c>
      <x:c r="F10" s="16" t="n">
        <x:v>0.168625</x:v>
      </x:c>
      <x:c r="G10" s="16" t="n">
        <x:v>0.109562</x:v>
      </x:c>
      <x:c r="H10" s="16" t="n">
        <x:v>0.060247</x:v>
      </x:c>
      <x:c r="I10" s="14" t="n">
        <x:v>90</x:v>
      </x:c>
      <x:c r="J10" t="str">
        <x:v>Precio 24h; sin permanencia</x:v>
      </x:c>
    </x:row>
    <x:row r="11">
      <x:c r="A11" t="str">
        <x:v>Naturgy</x:v>
      </x:c>
      <x:c r="B11" t="str">
        <x:v>Tarifa Por Uso Luz</x:v>
      </x:c>
      <x:c r="C11" t="str">
        <x:v>Fijo 24h</x:v>
      </x:c>
      <x:c r="D11" s="16" t="n">
        <x:v>0.1099</x:v>
      </x:c>
      <x:c r="E11" s="16" t="n">
        <x:v>0.1099</x:v>
      </x:c>
      <x:c r="F11" s="16" t="n">
        <x:v>0.1099</x:v>
      </x:c>
      <x:c r="G11" s="16" t="n">
        <x:v>0.12303</x:v>
      </x:c>
      <x:c r="H11" s="16" t="n">
        <x:v>0.037337</x:v>
      </x:c>
      <x:c r="I11" s="14" t="n">
        <x:v>60</x:v>
      </x:c>
      <x:c r="J11" t="str">
        <x:v>Nuevo cliente; 12 meses; sin permanencia</x:v>
      </x:c>
    </x:row>
    <x:row r="12">
      <x:c r="A12" t="str">
        <x:v>Naturgy</x:v>
      </x:c>
      <x:c r="B12" t="str">
        <x:v>Tarifa Noche Luz</x:v>
      </x:c>
      <x:c r="C12" t="str">
        <x:v>3 periodos</x:v>
      </x:c>
      <x:c r="D12" s="16" t="n">
        <x:v>0.1802</x:v>
      </x:c>
      <x:c r="E12" s="16" t="n">
        <x:v>0.1072</x:v>
      </x:c>
      <x:c r="F12" s="16" t="n">
        <x:v>0.0718</x:v>
      </x:c>
      <x:c r="G12" s="16" t="n">
        <x:v>0.12303</x:v>
      </x:c>
      <x:c r="H12" s="16" t="n">
        <x:v>0.037337</x:v>
      </x:c>
      <x:c r="I12" s="14" t="n">
        <x:v>60</x:v>
      </x:c>
      <x:c r="J12" t="str">
        <x:v>Nuevo cliente; 3 periodos; valle barato</x:v>
      </x:c>
    </x:row>
  </x:sheetData>
  <x:pageMargins left="0.7" right="0.7" top="0.75" bottom="0.75" header="0.3" footer="0.3"/>
  <x:tableParts count="1">
    <x:tablePart xmlns:r="http://schemas.openxmlformats.org/officeDocument/2006/relationships" r:id="R12de415bf5ba4e6d"/>
  </x:tableParts>
</x:worksheet>
</file>